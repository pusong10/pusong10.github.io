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song\Programming\blog\my-blog\source\downloads\"/>
    </mc:Choice>
  </mc:AlternateContent>
  <xr:revisionPtr revIDLastSave="0" documentId="8_{7D78D72E-7C05-4312-9FF9-2D0326A73141}" xr6:coauthVersionLast="47" xr6:coauthVersionMax="47" xr10:uidLastSave="{00000000-0000-0000-0000-000000000000}"/>
  <bookViews>
    <workbookView xWindow="-120" yWindow="-120" windowWidth="29040" windowHeight="15720" xr2:uid="{9280E6BC-8FF2-4050-BDE4-8BA564A5FD0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<sst xmlns="http://schemas.openxmlformats.org/spreadsheetml/2006/main" count="14" uniqueCount="14">
  <si>
    <t>公司名称</t>
  </si>
  <si>
    <t>申请岗位</t>
  </si>
  <si>
    <t>投递日期</t>
  </si>
  <si>
    <t>当前状态</t>
  </si>
  <si>
    <t>面试轮次</t>
  </si>
  <si>
    <t>薪资期望</t>
  </si>
  <si>
    <t>响应天数</t>
  </si>
  <si>
    <t>备注/联系人</t>
  </si>
  <si>
    <t>核心考点</t>
  </si>
  <si>
    <t>xxx</t>
  </si>
  <si>
    <t>开发</t>
  </si>
  <si>
    <t>已投递</t>
  </si>
  <si>
    <t>简历筛选</t>
  </si>
  <si>
    <t>10k-15k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</si>
</sst>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6">
    <dxf>
      <alignment horizontal="left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00B05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9B64B-922C-47C5-A2CB-20E4AE9DE417}" name="Table3" displayName="Table3" ref="A1:I37" totalsRowShown="0" headerRowDxfId="10" dataDxfId="9">
  <autoFilter ref="A1:I37" xr:uid="{79749B8E-B95B-4703-B6D8-EDF4EF6D7499}"/>
  <tableColumns count="9">
    <tableColumn id="1" xr3:uid="{13C408FD-47E4-469F-9537-5445DD7FF3BB}" name="公司名称" dataDxfId="8"/>
    <tableColumn id="2" xr3:uid="{B192DB48-7B56-492C-9B5E-6C13A7DB4383}" name="申请岗位" dataDxfId="7"/>
    <tableColumn id="3" xr3:uid="{03A0CFE2-8BCC-40E8-97F5-FD2BEFAFA1D8}" name="投递日期" dataDxfId="6"/>
    <tableColumn id="4" xr3:uid="{58F21CC2-84ED-43C2-BAB3-F5AC10A22541}" name="当前状态" dataDxfId="5"/>
    <tableColumn id="5" xr3:uid="{E3F6CBB7-CC89-4CBA-AD01-3D194AAD4986}" name="面试轮次" dataDxfId="4"/>
    <tableColumn id="6" xr3:uid="{5F127EE5-532D-463D-99C6-F4A7A1A68F5F}" name="薪资期望" dataDxfId="3"/>
    <tableColumn id="8" xr3:uid="{765C34E4-5167-4FD2-9AE6-31EA4363B797}" name="响应天数" dataDxfId="2">
      <calculatedColumnFormula>IF(OR($C2="", $D2="流程结束", $D2="已拒绝",$D2="录用"), "", NETWORKDAYS($C2, TODAY()))</calculatedColumnFormula>
    </tableColumn>
    <tableColumn id="9" xr3:uid="{208B3143-DFF3-4B4D-AC43-28BA60AC47D1}" name="备注/联系人" dataDxfId="1"/>
    <tableColumn id="7" xr3:uid="{17CC5D23-2076-48B2-BCE1-A89D5FB2198B}" name="核心考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21E8-AB23-453D-828F-15B2BC82A31A}">
  <dimension ref="A1:I37"/>
  <sheetViews>
    <sheetView tabSelected="1" workbookViewId="0">
      <selection activeCell="A2" sqref="A2:G2"/>
    </sheetView>
  </sheetViews>
  <sheetFormatPr defaultRowHeight="15" x14ac:dyDescent="0.25"/>
  <cols>
    <col min="1" max="1" width="22.85546875" style="1" customWidth="1"/>
    <col min="2" max="2" width="18.5703125" style="1" customWidth="1"/>
    <col min="3" max="3" width="17.5703125" style="1" customWidth="1"/>
    <col min="4" max="4" width="14.42578125" style="1" customWidth="1"/>
    <col min="5" max="5" width="16.42578125" style="1" customWidth="1"/>
    <col min="6" max="6" width="15.140625" style="1" customWidth="1"/>
    <col min="7" max="7" width="15" style="1" customWidth="1"/>
    <col min="8" max="8" width="18.5703125" style="1" customWidth="1"/>
    <col min="9" max="9" width="19.140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3">
        <v>46110</v>
      </c>
      <c r="D2" s="1" t="s">
        <v>11</v>
      </c>
      <c r="E2" s="1" t="s">
        <v>12</v>
      </c>
      <c r="F2" s="1" t="s">
        <v>13</v>
      </c>
      <c r="G2" s="1">
        <f ca="1">IF(OR($C2="", $D2="流程结束", $D2="已拒绝",$D2="录用"), "", NETWORKDAYS($C2, TODAY()))</f>
        <v>0</v>
      </c>
    </row>
    <row r="3" spans="1:9" x14ac:dyDescent="0.25">
      <c r="G3" s="1" t="str">
        <f t="shared" ref="G3:G38" ca="1" si="0">IF(OR($C3="", $D3="流程结束", $D3="已拒绝",$D3="录用"), "", NETWORKDAYS($C3, TODAY()))</f>
        <v/>
      </c>
    </row>
    <row r="4" spans="1:9" x14ac:dyDescent="0.25">
      <c r="G4" s="1" t="str">
        <f t="shared" ca="1" si="0"/>
        <v/>
      </c>
    </row>
    <row r="5" spans="1:9" x14ac:dyDescent="0.25">
      <c r="G5" s="1" t="str">
        <f t="shared" ca="1" si="0"/>
        <v/>
      </c>
    </row>
    <row r="6" spans="1:9" x14ac:dyDescent="0.25">
      <c r="G6" s="1" t="str">
        <f t="shared" ca="1" si="0"/>
        <v/>
      </c>
    </row>
    <row r="7" spans="1:9" x14ac:dyDescent="0.25">
      <c r="G7" s="1" t="str">
        <f t="shared" ca="1" si="0"/>
        <v/>
      </c>
    </row>
    <row r="8" spans="1:9" x14ac:dyDescent="0.25">
      <c r="G8" s="1" t="str">
        <f t="shared" ca="1" si="0"/>
        <v/>
      </c>
    </row>
    <row r="9" spans="1:9" x14ac:dyDescent="0.25">
      <c r="G9" s="1" t="str">
        <f t="shared" ca="1" si="0"/>
        <v/>
      </c>
    </row>
    <row r="10" spans="1:9" x14ac:dyDescent="0.25">
      <c r="G10" s="1" t="str">
        <f t="shared" ca="1" si="0"/>
        <v/>
      </c>
    </row>
    <row r="11" spans="1:9" x14ac:dyDescent="0.25">
      <c r="G11" s="1" t="str">
        <f t="shared" ca="1" si="0"/>
        <v/>
      </c>
    </row>
    <row r="12" spans="1:9" x14ac:dyDescent="0.25">
      <c r="G12" s="1" t="str">
        <f t="shared" ca="1" si="0"/>
        <v/>
      </c>
    </row>
    <row r="13" spans="1:9" x14ac:dyDescent="0.25">
      <c r="G13" s="1" t="str">
        <f t="shared" ca="1" si="0"/>
        <v/>
      </c>
    </row>
    <row r="14" spans="1:9" x14ac:dyDescent="0.25">
      <c r="G14" s="1" t="str">
        <f t="shared" ca="1" si="0"/>
        <v/>
      </c>
    </row>
    <row r="15" spans="1:9" x14ac:dyDescent="0.25">
      <c r="G15" s="1" t="str">
        <f t="shared" ca="1" si="0"/>
        <v/>
      </c>
    </row>
    <row r="16" spans="1:9" x14ac:dyDescent="0.25">
      <c r="G16" s="1" t="str">
        <f t="shared" ca="1" si="0"/>
        <v/>
      </c>
    </row>
    <row r="17" spans="7:7" x14ac:dyDescent="0.25">
      <c r="G17" s="1" t="str">
        <f t="shared" ca="1" si="0"/>
        <v/>
      </c>
    </row>
    <row r="18" spans="7:7" x14ac:dyDescent="0.25">
      <c r="G18" s="1" t="str">
        <f t="shared" ca="1" si="0"/>
        <v/>
      </c>
    </row>
    <row r="19" spans="7:7" x14ac:dyDescent="0.25">
      <c r="G19" s="1" t="str">
        <f t="shared" ca="1" si="0"/>
        <v/>
      </c>
    </row>
    <row r="20" spans="7:7" x14ac:dyDescent="0.25">
      <c r="G20" s="1" t="str">
        <f t="shared" ca="1" si="0"/>
        <v/>
      </c>
    </row>
    <row r="21" spans="7:7" x14ac:dyDescent="0.25">
      <c r="G21" s="1" t="str">
        <f t="shared" ca="1" si="0"/>
        <v/>
      </c>
    </row>
    <row r="22" spans="7:7" x14ac:dyDescent="0.25">
      <c r="G22" s="1" t="str">
        <f t="shared" ca="1" si="0"/>
        <v/>
      </c>
    </row>
    <row r="23" spans="7:7" x14ac:dyDescent="0.25">
      <c r="G23" s="1" t="str">
        <f t="shared" ca="1" si="0"/>
        <v/>
      </c>
    </row>
    <row r="24" spans="7:7" x14ac:dyDescent="0.25">
      <c r="G24" s="1" t="str">
        <f t="shared" ca="1" si="0"/>
        <v/>
      </c>
    </row>
    <row r="25" spans="7:7" x14ac:dyDescent="0.25">
      <c r="G25" s="1" t="str">
        <f t="shared" ca="1" si="0"/>
        <v/>
      </c>
    </row>
    <row r="26" spans="7:7" x14ac:dyDescent="0.25">
      <c r="G26" s="1" t="str">
        <f t="shared" ca="1" si="0"/>
        <v/>
      </c>
    </row>
    <row r="27" spans="7:7" x14ac:dyDescent="0.25">
      <c r="G27" s="1" t="str">
        <f t="shared" ca="1" si="0"/>
        <v/>
      </c>
    </row>
    <row r="28" spans="7:7" x14ac:dyDescent="0.25">
      <c r="G28" s="1" t="str">
        <f t="shared" ca="1" si="0"/>
        <v/>
      </c>
    </row>
    <row r="29" spans="7:7" x14ac:dyDescent="0.25">
      <c r="G29" s="1" t="str">
        <f t="shared" ca="1" si="0"/>
        <v/>
      </c>
    </row>
    <row r="30" spans="7:7" x14ac:dyDescent="0.25">
      <c r="G30" s="1" t="str">
        <f t="shared" ca="1" si="0"/>
        <v/>
      </c>
    </row>
    <row r="31" spans="7:7" x14ac:dyDescent="0.25">
      <c r="G31" s="1" t="str">
        <f t="shared" ca="1" si="0"/>
        <v/>
      </c>
    </row>
    <row r="32" spans="7:7" x14ac:dyDescent="0.25">
      <c r="G32" s="1" t="str">
        <f t="shared" ca="1" si="0"/>
        <v/>
      </c>
    </row>
    <row r="33" spans="7:7" x14ac:dyDescent="0.25">
      <c r="G33" s="1" t="str">
        <f t="shared" ca="1" si="0"/>
        <v/>
      </c>
    </row>
    <row r="34" spans="7:7" x14ac:dyDescent="0.25">
      <c r="G34" s="1" t="str">
        <f t="shared" ca="1" si="0"/>
        <v/>
      </c>
    </row>
    <row r="35" spans="7:7" x14ac:dyDescent="0.25">
      <c r="G35" s="1" t="str">
        <f t="shared" ca="1" si="0"/>
        <v/>
      </c>
    </row>
    <row r="36" spans="7:7" x14ac:dyDescent="0.25">
      <c r="G36" s="1" t="str">
        <f t="shared" ca="1" si="0"/>
        <v/>
      </c>
    </row>
    <row r="37" spans="7:7" x14ac:dyDescent="0.25">
      <c r="G37" s="1" t="str">
        <f t="shared" ca="1" si="0"/>
        <v/>
      </c>
    </row>
  </sheetData>
  <conditionalFormatting sqref="G1">
    <cfRule type="expression" dxfId="15" priority="1" stopIfTrue="1">
      <formula>AND($J2&gt;10, OR($D2="已投递", $D2="待反馈"))</formula>
    </cfRule>
    <cfRule type="expression" dxfId="14" priority="2" stopIfTrue="1">
      <formula>AND($J2&gt;5, $D2="已投递")</formula>
    </cfRule>
    <cfRule type="expression" dxfId="13" priority="3" stopIfTrue="1">
      <formula>AND($J2&gt;3, $D2="面试中")</formula>
    </cfRule>
    <cfRule type="expression" dxfId="12" priority="4">
      <formula>OR($D2="已拒绝",$D2="流程结束")</formula>
    </cfRule>
    <cfRule type="expression" dxfId="11" priority="5">
      <formula>$D2="录用"</formula>
    </cfRule>
  </conditionalFormatting>
  <dataValidations count="2">
    <dataValidation type="list" allowBlank="1" showInputMessage="1" showErrorMessage="1" sqref="E2:E1048576" xr:uid="{3E03B687-1F7E-4AD6-9CA5-E06D593DBA40}">
      <formula1>"简历筛选,技术初试,技术复试,终面/HR面,谈薪/背调"</formula1>
    </dataValidation>
    <dataValidation type="list" allowBlank="1" showInputMessage="1" showErrorMessage="1" sqref="D2:D1048576" xr:uid="{52054E09-AFE3-477F-B509-1B296FDFD461}">
      <formula1>"已投递,简历通过,面试中,待Offer,已拒绝,流程结束"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pusong</dc:creator>
  <cp:lastModifiedBy>pusong</cp:lastModifiedBy>
  <dcterms:created xsi:type="dcterms:W3CDTF">2026-03-29T09:07:39Z</dcterms:created>
  <dcterms:modified xsi:type="dcterms:W3CDTF">2026-03-29T09:08:53Z</dcterms:modified>
</cp:coreProperties>
</file>